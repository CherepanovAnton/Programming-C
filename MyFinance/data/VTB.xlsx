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<sst xmlns="http://schemas.openxmlformats.org/spreadsheetml/2006/main" count="495" uniqueCount="97">
  <si>
    <t>Дата</t>
  </si>
  <si>
    <t>Тип</t>
  </si>
  <si>
    <t>Описание</t>
  </si>
  <si>
    <t>Поступление</t>
  </si>
  <si>
    <t>Расход</t>
  </si>
  <si>
    <t>Остаток</t>
  </si>
  <si>
    <t>Контроль</t>
  </si>
  <si>
    <t>Дата/код авториз.</t>
  </si>
  <si>
    <t>Тип операции</t>
  </si>
  <si>
    <t>Другое</t>
  </si>
  <si>
    <t>Списание</t>
  </si>
  <si>
    <t>Оплата товаров и услуг. AGNI. по карте *6634</t>
  </si>
  <si>
    <t>2026-04-17</t>
  </si>
  <si>
    <t/>
  </si>
  <si>
    <t>0.00 Спасибо, что Вы с нами! Всегда Ваш, Банк ВТБ (ПАО) 6</t>
  </si>
  <si>
    <t>*6634</t>
  </si>
  <si>
    <t>0.00 Оплата товаров и услуг. YARCHE. по карте</t>
  </si>
  <si>
    <t>TUSHENKA. по карте *6634</t>
  </si>
  <si>
    <t>0.00 Оплата товаров и услуг. MAGNIT MM</t>
  </si>
  <si>
    <t>карте *6634</t>
  </si>
  <si>
    <t>0.00 Оплата товаров и услуг. IP Batuyeva O S. по</t>
  </si>
  <si>
    <t>2026-04-18</t>
  </si>
  <si>
    <t>0.00 5</t>
  </si>
  <si>
    <t>2026-04-19</t>
  </si>
  <si>
    <t>0.00 Оплата товаров и услуг. SOLNECHNYJ DEN. по</t>
  </si>
  <si>
    <t>2026-04-20</t>
  </si>
  <si>
    <t>0.00 Оплата товаров и услуг. IP Stepanov Danil. по</t>
  </si>
  <si>
    <t>0.00 Оплата товаров и услуг. IP MOLOKOVA N.V.. по</t>
  </si>
  <si>
    <t>2026-04-21</t>
  </si>
  <si>
    <t>2026-04-22</t>
  </si>
  <si>
    <t>2026-04-24</t>
  </si>
  <si>
    <t>2026-04-25</t>
  </si>
  <si>
    <t>2026-04-26</t>
  </si>
  <si>
    <t>2026-04-27</t>
  </si>
  <si>
    <t>0.00 Оплата товаров и услуг. SOLNECHNYJ DEN. по 4</t>
  </si>
  <si>
    <t>0.00 Оплата товаров и услуг. OOO PKK. по карте</t>
  </si>
  <si>
    <t>. по карте *6634</t>
  </si>
  <si>
    <t>2026-04-28</t>
  </si>
  <si>
    <t>0.00 Оплата товаров и услуг. IP SHMORGUNOV V.S.</t>
  </si>
  <si>
    <t>МИХАЙЛОВИЧ.</t>
  </si>
  <si>
    <t>0.00 Переводы через СБП. ЧЕРЕПАНОВ АНТОН</t>
  </si>
  <si>
    <t>КУБАНЫЧОВИЧ.</t>
  </si>
  <si>
    <t>0.00 Переводы через СБП. КАДЫРОВ ЭЛЬДИЯР</t>
  </si>
  <si>
    <t>2026-04-29</t>
  </si>
  <si>
    <t>2026-04-30</t>
  </si>
  <si>
    <t>0.00 Оплата товаров и услуг. IP Nechunaev. по карте</t>
  </si>
  <si>
    <t>0.00 Оплата товаров и услуг. KRASNOE&amp;BELOE. по</t>
  </si>
  <si>
    <t>СЕРГЕЕВИЧ.</t>
  </si>
  <si>
    <t>0.00 Переводы через СБП. МЕТЛЯЕВ НИКИТА</t>
  </si>
  <si>
    <t>2026-05-02</t>
  </si>
  <si>
    <t>0.00</t>
  </si>
  <si>
    <t>0.00 Оплата товаров и услуг. YARCHE. по карте 3</t>
  </si>
  <si>
    <t>0.00 Оплата товаров и услуг. OOO OLVIK. по карте</t>
  </si>
  <si>
    <t>ИСКИТИМ, Студенческий. Prigorod.</t>
  </si>
  <si>
    <t>0.00 Переводы через СБП. РЕЧНОЙ ВОКЗАЛ -</t>
  </si>
  <si>
    <t>2026-05-03</t>
  </si>
  <si>
    <t>ИСКИТИМ, Полный. Prigorod.</t>
  </si>
  <si>
    <t>2026-05-01</t>
  </si>
  <si>
    <t>РЕЧНОЙ ВОКЗАЛ, Студенческий. Prigorod.</t>
  </si>
  <si>
    <t>0.00 Переводы через СБП. ОБСКОЕ МОРЕ -</t>
  </si>
  <si>
    <t>АРТЕМОВИЧ.</t>
  </si>
  <si>
    <t>0.00 Переводы через СБП. Люблю . КАЧАР КИРИЛЛ</t>
  </si>
  <si>
    <t>по карте *6634</t>
  </si>
  <si>
    <t>0.00 Оплата товаров и услуг. PYATEROCHKA 9936.</t>
  </si>
  <si>
    <t>2026-05-04</t>
  </si>
  <si>
    <t>2026-05-05</t>
  </si>
  <si>
    <t>2026-05-06</t>
  </si>
  <si>
    <t>MOROZHENOE. по карте *6634</t>
  </si>
  <si>
    <t>0.00 Оплата товаров и услуг. SLAVICA</t>
  </si>
  <si>
    <t>2026-05-07</t>
  </si>
  <si>
    <t>0.00 Оплата товаров и услуг. FABRIKA. по карте</t>
  </si>
  <si>
    <t>0.00 Оплата товаров и услуг. YARCHE. по карте 2</t>
  </si>
  <si>
    <t>2026-05-08</t>
  </si>
  <si>
    <t>Оплата товаров и услуг. MIRRIS. по карте *6634</t>
  </si>
  <si>
    <t>0.00 Оплата товаров и услуг. HABIBI FOOD. по карте</t>
  </si>
  <si>
    <t>2026-05-09</t>
  </si>
  <si>
    <t>Прочее</t>
  </si>
  <si>
    <t>Зачисление кешбэка по программе лояльности.</t>
  </si>
  <si>
    <t>686.00 RUB</t>
  </si>
  <si>
    <t>2026-05-10</t>
  </si>
  <si>
    <t>0.00 Оплата товаров и услуг. EVO_KANC_TOVARY.</t>
  </si>
  <si>
    <t>средств. Черепанов Антон Михайлович.</t>
  </si>
  <si>
    <t>0.00 Переводы через СБП. Перевод денежных</t>
  </si>
  <si>
    <t>OPT. по карте *6634</t>
  </si>
  <si>
    <t>2026-05-11</t>
  </si>
  <si>
    <t>0.00 Оплата товаров и услуг. YARCHE ROZNICA</t>
  </si>
  <si>
    <t>Михайлович.</t>
  </si>
  <si>
    <t>0.00 Переводы через СБП. Черепанов Антон</t>
  </si>
  <si>
    <t>2026-05-12</t>
  </si>
  <si>
    <t>0.00 Оплата товаров и услуг. YARCHE. по карте 1</t>
  </si>
  <si>
    <t>2026-05-13</t>
  </si>
  <si>
    <t>0.00 Оплата товаров и услуг. PYATEROCHKA 18703.</t>
  </si>
  <si>
    <t>2026-05-14</t>
  </si>
  <si>
    <t>АЛЕКСАНДРОВИЧ.</t>
  </si>
  <si>
    <t>0.00 Переводы через СБП. ТРУБИНОВ ВЯЧЕСЛАВ</t>
  </si>
  <si>
    <t>2026-05-15</t>
  </si>
  <si>
    <t>2026-05-16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</si>
</sst>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 mmm\ yyyy\ h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tabSelected="1" zoomScale="70" zoomScaleNormal="70" topLeftCell="A33" workbookViewId="0">
      <selection activeCell="J65" sqref="J65"/>
    </sheetView>
  </sheetViews>
  <sheetFormatPr defaultColWidth="9" defaultRowHeight="14.4"/>
  <cols>
    <col min="1" max="1" width="17.712962962963" customWidth="1"/>
    <col min="2" max="2" width="15.712962962963" customWidth="1"/>
    <col min="3" max="3" width="90.712962962963" customWidth="1"/>
    <col min="4" max="6" width="15.712962962963" customWidth="1"/>
    <col min="7" max="7" width="10.712962962963" customWidth="1"/>
    <col min="8" max="8" width="20.712962962963" customWidth="1"/>
    <col min="9" max="9" width="27.712962962963" customWidth="1"/>
    <col min="10" max="10" width="50.71296296296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46127.3798611111</v>
      </c>
      <c r="B2" t="s">
        <v>10</v>
      </c>
      <c r="C2" t="s">
        <v>11</v>
      </c>
      <c r="E2">
        <v>-199</v>
      </c>
      <c r="F2">
        <f>D2+E2</f>
        <v>-199</v>
      </c>
      <c r="H2" t="s">
        <v>12</v>
      </c>
      <c r="I2" t="s">
        <v>13</v>
      </c>
      <c r="J2" t="s">
        <v>14</v>
      </c>
    </row>
    <row r="3" spans="1:10">
      <c r="A3" s="2">
        <v>46127.5284722222</v>
      </c>
      <c r="B3" t="s">
        <v>10</v>
      </c>
      <c r="C3" t="s">
        <v>15</v>
      </c>
      <c r="E3">
        <v>-339.97</v>
      </c>
      <c r="F3">
        <f t="shared" ref="F3:F66" si="0">F2+D3+E3</f>
        <v>-538.97</v>
      </c>
      <c r="H3" t="s">
        <v>12</v>
      </c>
      <c r="I3" t="s">
        <v>13</v>
      </c>
      <c r="J3" t="s">
        <v>16</v>
      </c>
    </row>
    <row r="4" spans="1:10">
      <c r="A4" s="2">
        <v>46127.7319444444</v>
      </c>
      <c r="B4" t="s">
        <v>10</v>
      </c>
      <c r="C4" t="s">
        <v>17</v>
      </c>
      <c r="E4">
        <v>-329.97</v>
      </c>
      <c r="F4">
        <f t="shared" si="0"/>
        <v>-868.94</v>
      </c>
      <c r="H4" t="s">
        <v>12</v>
      </c>
      <c r="I4" t="s">
        <v>13</v>
      </c>
      <c r="J4" t="s">
        <v>18</v>
      </c>
    </row>
    <row r="5" spans="1:10">
      <c r="A5" s="2">
        <v>46128.2409722222</v>
      </c>
      <c r="B5" t="s">
        <v>10</v>
      </c>
      <c r="C5" t="s">
        <v>19</v>
      </c>
      <c r="E5">
        <v>-140</v>
      </c>
      <c r="F5">
        <f t="shared" si="0"/>
        <v>-1008.94</v>
      </c>
      <c r="H5" t="s">
        <v>12</v>
      </c>
      <c r="I5" t="s">
        <v>13</v>
      </c>
      <c r="J5" t="s">
        <v>20</v>
      </c>
    </row>
    <row r="6" spans="1:10">
      <c r="A6" s="2">
        <v>46128.3909722222</v>
      </c>
      <c r="B6" t="s">
        <v>10</v>
      </c>
      <c r="C6" t="s">
        <v>11</v>
      </c>
      <c r="E6">
        <v>-199</v>
      </c>
      <c r="F6">
        <f t="shared" si="0"/>
        <v>-1207.94</v>
      </c>
      <c r="H6" t="s">
        <v>21</v>
      </c>
      <c r="I6" t="s">
        <v>13</v>
      </c>
      <c r="J6" t="s">
        <v>22</v>
      </c>
    </row>
    <row r="7" spans="1:10">
      <c r="A7" s="2">
        <v>46129.1770833333</v>
      </c>
      <c r="B7" t="s">
        <v>10</v>
      </c>
      <c r="C7" t="s">
        <v>19</v>
      </c>
      <c r="E7">
        <v>-169</v>
      </c>
      <c r="F7">
        <f t="shared" si="0"/>
        <v>-1376.94</v>
      </c>
      <c r="H7" t="s">
        <v>23</v>
      </c>
      <c r="I7" t="s">
        <v>13</v>
      </c>
      <c r="J7" t="s">
        <v>24</v>
      </c>
    </row>
    <row r="8" spans="1:10">
      <c r="A8" s="2">
        <v>46129.3097222222</v>
      </c>
      <c r="B8" t="s">
        <v>10</v>
      </c>
      <c r="C8" t="s">
        <v>19</v>
      </c>
      <c r="E8">
        <v>-274</v>
      </c>
      <c r="F8">
        <f t="shared" si="0"/>
        <v>-1650.94</v>
      </c>
      <c r="H8" t="s">
        <v>23</v>
      </c>
      <c r="I8" t="s">
        <v>13</v>
      </c>
      <c r="J8" t="s">
        <v>24</v>
      </c>
    </row>
    <row r="9" spans="1:10">
      <c r="A9" s="2">
        <v>46130.3083333333</v>
      </c>
      <c r="B9" t="s">
        <v>10</v>
      </c>
      <c r="C9" t="s">
        <v>19</v>
      </c>
      <c r="E9">
        <v>-115</v>
      </c>
      <c r="F9">
        <f t="shared" si="0"/>
        <v>-1765.94</v>
      </c>
      <c r="H9" t="s">
        <v>25</v>
      </c>
      <c r="I9" t="s">
        <v>13</v>
      </c>
      <c r="J9" t="s">
        <v>26</v>
      </c>
    </row>
    <row r="10" spans="1:10">
      <c r="A10" s="2">
        <v>46130.3701388889</v>
      </c>
      <c r="B10" t="s">
        <v>10</v>
      </c>
      <c r="C10" t="s">
        <v>19</v>
      </c>
      <c r="E10">
        <v>-545</v>
      </c>
      <c r="F10">
        <f t="shared" si="0"/>
        <v>-2310.94</v>
      </c>
      <c r="H10" t="s">
        <v>25</v>
      </c>
      <c r="I10" t="s">
        <v>13</v>
      </c>
      <c r="J10" t="s">
        <v>24</v>
      </c>
    </row>
    <row r="11" spans="1:10">
      <c r="A11" s="2">
        <v>46130.4222222222</v>
      </c>
      <c r="B11" t="s">
        <v>10</v>
      </c>
      <c r="C11" t="s">
        <v>19</v>
      </c>
      <c r="E11">
        <v>-50</v>
      </c>
      <c r="F11">
        <f t="shared" si="0"/>
        <v>-2360.94</v>
      </c>
      <c r="H11" t="s">
        <v>25</v>
      </c>
      <c r="I11" t="s">
        <v>13</v>
      </c>
      <c r="J11" t="s">
        <v>27</v>
      </c>
    </row>
    <row r="12" spans="1:10">
      <c r="A12" s="2">
        <v>46130.4597222222</v>
      </c>
      <c r="B12" t="s">
        <v>10</v>
      </c>
      <c r="C12" t="s">
        <v>15</v>
      </c>
      <c r="E12">
        <v>-122.67</v>
      </c>
      <c r="F12">
        <f t="shared" si="0"/>
        <v>-2483.61</v>
      </c>
      <c r="H12" t="s">
        <v>28</v>
      </c>
      <c r="I12" t="s">
        <v>13</v>
      </c>
      <c r="J12" t="s">
        <v>16</v>
      </c>
    </row>
    <row r="13" spans="1:10">
      <c r="A13" s="2">
        <v>46130.7270833333</v>
      </c>
      <c r="B13" t="s">
        <v>10</v>
      </c>
      <c r="C13" t="s">
        <v>15</v>
      </c>
      <c r="E13">
        <v>-419.97</v>
      </c>
      <c r="F13">
        <f t="shared" si="0"/>
        <v>-2903.58</v>
      </c>
      <c r="H13" t="s">
        <v>25</v>
      </c>
      <c r="I13" t="s">
        <v>13</v>
      </c>
      <c r="J13" t="s">
        <v>16</v>
      </c>
    </row>
    <row r="14" spans="1:10">
      <c r="A14" s="2">
        <v>46131.3597222222</v>
      </c>
      <c r="B14" t="s">
        <v>10</v>
      </c>
      <c r="C14" t="s">
        <v>19</v>
      </c>
      <c r="E14">
        <v>-339</v>
      </c>
      <c r="F14">
        <f t="shared" si="0"/>
        <v>-3242.58</v>
      </c>
      <c r="H14" t="s">
        <v>28</v>
      </c>
      <c r="I14" t="s">
        <v>13</v>
      </c>
      <c r="J14" t="s">
        <v>24</v>
      </c>
    </row>
    <row r="15" spans="1:10">
      <c r="A15" s="2">
        <v>46131.7180555556</v>
      </c>
      <c r="B15" t="s">
        <v>10</v>
      </c>
      <c r="C15" t="s">
        <v>17</v>
      </c>
      <c r="E15">
        <v>-598.95</v>
      </c>
      <c r="F15">
        <f t="shared" si="0"/>
        <v>-3841.53</v>
      </c>
      <c r="H15" t="s">
        <v>28</v>
      </c>
      <c r="I15" t="s">
        <v>13</v>
      </c>
      <c r="J15" t="s">
        <v>18</v>
      </c>
    </row>
    <row r="16" spans="1:10">
      <c r="A16" s="2">
        <v>46132.3013888889</v>
      </c>
      <c r="B16" t="s">
        <v>10</v>
      </c>
      <c r="C16" t="s">
        <v>17</v>
      </c>
      <c r="E16">
        <v>-139.98</v>
      </c>
      <c r="F16">
        <f t="shared" si="0"/>
        <v>-3981.51</v>
      </c>
      <c r="H16" t="s">
        <v>29</v>
      </c>
      <c r="I16" t="s">
        <v>13</v>
      </c>
      <c r="J16" t="s">
        <v>18</v>
      </c>
    </row>
    <row r="17" spans="1:10">
      <c r="A17" s="2">
        <v>46132.4013888889</v>
      </c>
      <c r="B17" t="s">
        <v>10</v>
      </c>
      <c r="C17" t="s">
        <v>17</v>
      </c>
      <c r="E17">
        <v>-453.95</v>
      </c>
      <c r="F17">
        <f t="shared" si="0"/>
        <v>-4435.46</v>
      </c>
      <c r="H17" t="s">
        <v>29</v>
      </c>
      <c r="I17" t="s">
        <v>13</v>
      </c>
      <c r="J17" t="s">
        <v>18</v>
      </c>
    </row>
    <row r="18" spans="1:10">
      <c r="A18" s="2">
        <v>46132.4395833333</v>
      </c>
      <c r="B18" t="s">
        <v>10</v>
      </c>
      <c r="C18" t="s">
        <v>15</v>
      </c>
      <c r="E18">
        <v>-69.98</v>
      </c>
      <c r="F18">
        <f t="shared" si="0"/>
        <v>-4505.44</v>
      </c>
      <c r="H18" t="s">
        <v>29</v>
      </c>
      <c r="I18" t="s">
        <v>13</v>
      </c>
      <c r="J18" t="s">
        <v>16</v>
      </c>
    </row>
    <row r="19" spans="1:10">
      <c r="A19" s="2">
        <v>46134.3888888889</v>
      </c>
      <c r="B19" t="s">
        <v>10</v>
      </c>
      <c r="C19" t="s">
        <v>19</v>
      </c>
      <c r="E19">
        <v>-485</v>
      </c>
      <c r="F19">
        <f t="shared" si="0"/>
        <v>-4990.44</v>
      </c>
      <c r="H19" t="s">
        <v>30</v>
      </c>
      <c r="I19" t="s">
        <v>13</v>
      </c>
      <c r="J19" t="s">
        <v>24</v>
      </c>
    </row>
    <row r="20" spans="1:10">
      <c r="A20" s="2">
        <v>46134.59375</v>
      </c>
      <c r="B20" t="s">
        <v>10</v>
      </c>
      <c r="C20" t="s">
        <v>15</v>
      </c>
      <c r="E20">
        <v>-64.32</v>
      </c>
      <c r="F20">
        <f t="shared" si="0"/>
        <v>-5054.76</v>
      </c>
      <c r="H20" t="s">
        <v>30</v>
      </c>
      <c r="I20" t="s">
        <v>13</v>
      </c>
      <c r="J20" t="s">
        <v>16</v>
      </c>
    </row>
    <row r="21" spans="1:10">
      <c r="A21" s="2">
        <v>46135.1736111111</v>
      </c>
      <c r="B21" t="s">
        <v>10</v>
      </c>
      <c r="C21" t="s">
        <v>19</v>
      </c>
      <c r="E21">
        <v>-350</v>
      </c>
      <c r="F21">
        <f t="shared" si="0"/>
        <v>-5404.76</v>
      </c>
      <c r="H21" t="s">
        <v>31</v>
      </c>
      <c r="I21" t="s">
        <v>13</v>
      </c>
      <c r="J21" t="s">
        <v>24</v>
      </c>
    </row>
    <row r="22" spans="1:10">
      <c r="A22" s="2">
        <v>46136.2958333333</v>
      </c>
      <c r="B22" t="s">
        <v>10</v>
      </c>
      <c r="C22" t="s">
        <v>19</v>
      </c>
      <c r="E22">
        <v>-269</v>
      </c>
      <c r="F22">
        <f t="shared" si="0"/>
        <v>-5673.76</v>
      </c>
      <c r="H22" t="s">
        <v>32</v>
      </c>
      <c r="I22" t="s">
        <v>13</v>
      </c>
      <c r="J22" t="s">
        <v>24</v>
      </c>
    </row>
    <row r="23" spans="1:10">
      <c r="A23" s="2">
        <v>46136.3972222222</v>
      </c>
      <c r="B23" t="s">
        <v>10</v>
      </c>
      <c r="C23" t="s">
        <v>17</v>
      </c>
      <c r="E23">
        <v>-69.99</v>
      </c>
      <c r="F23">
        <f t="shared" si="0"/>
        <v>-5743.75</v>
      </c>
      <c r="H23" t="s">
        <v>32</v>
      </c>
      <c r="I23" t="s">
        <v>13</v>
      </c>
      <c r="J23" t="s">
        <v>18</v>
      </c>
    </row>
    <row r="24" spans="1:10">
      <c r="A24" s="2">
        <v>46137.1805555556</v>
      </c>
      <c r="B24" t="s">
        <v>10</v>
      </c>
      <c r="C24" t="s">
        <v>19</v>
      </c>
      <c r="E24">
        <v>-169</v>
      </c>
      <c r="F24">
        <f t="shared" si="0"/>
        <v>-5912.75</v>
      </c>
      <c r="H24" t="s">
        <v>33</v>
      </c>
      <c r="I24" t="s">
        <v>13</v>
      </c>
      <c r="J24" t="s">
        <v>24</v>
      </c>
    </row>
    <row r="25" spans="1:10">
      <c r="A25" s="2">
        <v>46137.20625</v>
      </c>
      <c r="B25" t="s">
        <v>10</v>
      </c>
      <c r="C25" t="s">
        <v>17</v>
      </c>
      <c r="E25">
        <v>-293.67</v>
      </c>
      <c r="F25">
        <f t="shared" si="0"/>
        <v>-6206.42</v>
      </c>
      <c r="H25" t="s">
        <v>33</v>
      </c>
      <c r="I25" t="s">
        <v>13</v>
      </c>
      <c r="J25" t="s">
        <v>18</v>
      </c>
    </row>
    <row r="26" spans="1:10">
      <c r="A26" s="2">
        <v>46137.3659722222</v>
      </c>
      <c r="B26" t="s">
        <v>10</v>
      </c>
      <c r="C26" t="s">
        <v>19</v>
      </c>
      <c r="E26">
        <v>-269</v>
      </c>
      <c r="F26">
        <f t="shared" si="0"/>
        <v>-6475.42</v>
      </c>
      <c r="H26" t="s">
        <v>33</v>
      </c>
      <c r="I26" t="s">
        <v>13</v>
      </c>
      <c r="J26" t="s">
        <v>34</v>
      </c>
    </row>
    <row r="27" spans="1:10">
      <c r="A27" s="2">
        <v>46137.3888888889</v>
      </c>
      <c r="B27" t="s">
        <v>10</v>
      </c>
      <c r="C27" t="s">
        <v>15</v>
      </c>
      <c r="E27">
        <v>-140</v>
      </c>
      <c r="F27">
        <f t="shared" si="0"/>
        <v>-6615.42</v>
      </c>
      <c r="H27" t="s">
        <v>33</v>
      </c>
      <c r="I27" t="s">
        <v>13</v>
      </c>
      <c r="J27" t="s">
        <v>35</v>
      </c>
    </row>
    <row r="28" spans="1:10">
      <c r="A28" s="2">
        <v>46137.5152777778</v>
      </c>
      <c r="B28" t="s">
        <v>10</v>
      </c>
      <c r="C28" t="s">
        <v>19</v>
      </c>
      <c r="E28">
        <v>-455</v>
      </c>
      <c r="F28">
        <f t="shared" si="0"/>
        <v>-7070.42</v>
      </c>
      <c r="H28" t="s">
        <v>33</v>
      </c>
      <c r="I28" t="s">
        <v>13</v>
      </c>
      <c r="J28" t="s">
        <v>24</v>
      </c>
    </row>
    <row r="29" spans="1:10">
      <c r="A29" s="2">
        <v>46138.33125</v>
      </c>
      <c r="B29" t="s">
        <v>10</v>
      </c>
      <c r="C29" t="s">
        <v>36</v>
      </c>
      <c r="E29">
        <v>-209</v>
      </c>
      <c r="F29">
        <f t="shared" si="0"/>
        <v>-7279.42</v>
      </c>
      <c r="H29" t="s">
        <v>37</v>
      </c>
      <c r="I29" t="s">
        <v>13</v>
      </c>
      <c r="J29" t="s">
        <v>38</v>
      </c>
    </row>
    <row r="30" spans="1:10">
      <c r="A30" s="2">
        <v>46138.3354166667</v>
      </c>
      <c r="B30" t="s">
        <v>10</v>
      </c>
      <c r="C30" t="s">
        <v>15</v>
      </c>
      <c r="E30">
        <v>-229.98</v>
      </c>
      <c r="F30">
        <f t="shared" si="0"/>
        <v>-7509.4</v>
      </c>
      <c r="H30" t="s">
        <v>37</v>
      </c>
      <c r="I30" t="s">
        <v>13</v>
      </c>
      <c r="J30" t="s">
        <v>16</v>
      </c>
    </row>
    <row r="31" spans="1:10">
      <c r="A31" s="2">
        <v>46138.4097222222</v>
      </c>
      <c r="B31" t="s">
        <v>10</v>
      </c>
      <c r="C31" t="s">
        <v>15</v>
      </c>
      <c r="E31">
        <v>-140</v>
      </c>
      <c r="F31">
        <f t="shared" si="0"/>
        <v>-7649.4</v>
      </c>
      <c r="H31" t="s">
        <v>37</v>
      </c>
      <c r="I31" t="s">
        <v>13</v>
      </c>
      <c r="J31" t="s">
        <v>35</v>
      </c>
    </row>
    <row r="32" spans="1:10">
      <c r="A32" s="2">
        <v>46138.4527777778</v>
      </c>
      <c r="B32" t="s">
        <v>10</v>
      </c>
      <c r="C32" t="s">
        <v>15</v>
      </c>
      <c r="E32">
        <v>-140</v>
      </c>
      <c r="F32">
        <f t="shared" si="0"/>
        <v>-7789.4</v>
      </c>
      <c r="H32" t="s">
        <v>37</v>
      </c>
      <c r="I32" t="s">
        <v>13</v>
      </c>
      <c r="J32" t="s">
        <v>35</v>
      </c>
    </row>
    <row r="33" spans="1:10">
      <c r="A33" s="2">
        <v>46138.4972222222</v>
      </c>
      <c r="B33" t="s">
        <v>10</v>
      </c>
      <c r="C33" t="s">
        <v>19</v>
      </c>
      <c r="E33">
        <v>-269</v>
      </c>
      <c r="F33">
        <f t="shared" si="0"/>
        <v>-8058.4</v>
      </c>
      <c r="H33" t="s">
        <v>37</v>
      </c>
      <c r="I33" t="s">
        <v>13</v>
      </c>
      <c r="J33" t="s">
        <v>24</v>
      </c>
    </row>
    <row r="34" spans="1:10">
      <c r="A34" s="2">
        <v>46138.7138888889</v>
      </c>
      <c r="B34" t="s">
        <v>3</v>
      </c>
      <c r="C34" t="s">
        <v>39</v>
      </c>
      <c r="D34">
        <v>6500</v>
      </c>
      <c r="F34">
        <f t="shared" si="0"/>
        <v>-1558.4</v>
      </c>
      <c r="H34" t="s">
        <v>32</v>
      </c>
      <c r="I34" t="s">
        <v>13</v>
      </c>
      <c r="J34" t="s">
        <v>40</v>
      </c>
    </row>
    <row r="35" spans="1:10">
      <c r="A35" s="2">
        <v>46138.7284722222</v>
      </c>
      <c r="B35" t="s">
        <v>10</v>
      </c>
      <c r="C35" t="s">
        <v>17</v>
      </c>
      <c r="E35">
        <v>-283.97</v>
      </c>
      <c r="F35">
        <f t="shared" si="0"/>
        <v>-1842.37</v>
      </c>
      <c r="H35" t="s">
        <v>37</v>
      </c>
      <c r="I35" t="s">
        <v>13</v>
      </c>
      <c r="J35" t="s">
        <v>18</v>
      </c>
    </row>
    <row r="36" spans="1:10">
      <c r="A36" s="2">
        <v>46139.6125</v>
      </c>
      <c r="B36" t="s">
        <v>10</v>
      </c>
      <c r="C36" t="s">
        <v>41</v>
      </c>
      <c r="E36">
        <v>-600</v>
      </c>
      <c r="F36">
        <f t="shared" si="0"/>
        <v>-2442.37</v>
      </c>
      <c r="H36" t="s">
        <v>33</v>
      </c>
      <c r="I36" t="s">
        <v>13</v>
      </c>
      <c r="J36" t="s">
        <v>42</v>
      </c>
    </row>
    <row r="37" spans="1:10">
      <c r="A37" s="2">
        <v>46139.6194444444</v>
      </c>
      <c r="B37" t="s">
        <v>10</v>
      </c>
      <c r="C37" t="s">
        <v>15</v>
      </c>
      <c r="E37">
        <v>-289.99</v>
      </c>
      <c r="F37">
        <f t="shared" si="0"/>
        <v>-2732.36</v>
      </c>
      <c r="H37" t="s">
        <v>43</v>
      </c>
      <c r="I37" t="s">
        <v>13</v>
      </c>
      <c r="J37" t="s">
        <v>16</v>
      </c>
    </row>
    <row r="38" spans="1:10">
      <c r="A38" s="2">
        <v>46139.68125</v>
      </c>
      <c r="B38" t="s">
        <v>10</v>
      </c>
      <c r="C38" t="s">
        <v>15</v>
      </c>
      <c r="E38">
        <v>-140</v>
      </c>
      <c r="F38">
        <f t="shared" si="0"/>
        <v>-2872.36</v>
      </c>
      <c r="H38" t="s">
        <v>43</v>
      </c>
      <c r="I38" t="s">
        <v>13</v>
      </c>
      <c r="J38" t="s">
        <v>35</v>
      </c>
    </row>
    <row r="39" spans="1:10">
      <c r="A39" s="2">
        <v>46140.2916666667</v>
      </c>
      <c r="B39" t="s">
        <v>10</v>
      </c>
      <c r="C39" t="s">
        <v>19</v>
      </c>
      <c r="E39">
        <v>-269</v>
      </c>
      <c r="F39">
        <f t="shared" si="0"/>
        <v>-3141.36</v>
      </c>
      <c r="H39" t="s">
        <v>44</v>
      </c>
      <c r="I39" t="s">
        <v>13</v>
      </c>
      <c r="J39" t="s">
        <v>24</v>
      </c>
    </row>
    <row r="40" spans="1:10">
      <c r="A40" s="2">
        <v>46140.3833333333</v>
      </c>
      <c r="B40" t="s">
        <v>10</v>
      </c>
      <c r="C40" t="s">
        <v>15</v>
      </c>
      <c r="E40">
        <v>-266</v>
      </c>
      <c r="F40">
        <f t="shared" si="0"/>
        <v>-3407.36</v>
      </c>
      <c r="H40" t="s">
        <v>44</v>
      </c>
      <c r="I40" t="s">
        <v>13</v>
      </c>
      <c r="J40" t="s">
        <v>45</v>
      </c>
    </row>
    <row r="41" spans="1:10">
      <c r="A41" s="2">
        <v>46140.3902777778</v>
      </c>
      <c r="B41" t="s">
        <v>10</v>
      </c>
      <c r="C41" t="s">
        <v>19</v>
      </c>
      <c r="E41">
        <v>-88.89</v>
      </c>
      <c r="F41">
        <f t="shared" si="0"/>
        <v>-3496.25</v>
      </c>
      <c r="H41" t="s">
        <v>44</v>
      </c>
      <c r="I41" t="s">
        <v>13</v>
      </c>
      <c r="J41" t="s">
        <v>46</v>
      </c>
    </row>
    <row r="42" spans="1:10">
      <c r="A42" s="2">
        <v>46140.4055555556</v>
      </c>
      <c r="B42" t="s">
        <v>10</v>
      </c>
      <c r="C42" t="s">
        <v>47</v>
      </c>
      <c r="E42">
        <v>-117</v>
      </c>
      <c r="F42">
        <f t="shared" si="0"/>
        <v>-3613.25</v>
      </c>
      <c r="H42" t="s">
        <v>37</v>
      </c>
      <c r="I42" t="s">
        <v>13</v>
      </c>
      <c r="J42" t="s">
        <v>48</v>
      </c>
    </row>
    <row r="43" spans="1:10">
      <c r="A43" s="2">
        <v>46140.5583333333</v>
      </c>
      <c r="B43" t="s">
        <v>10</v>
      </c>
      <c r="C43" t="s">
        <v>17</v>
      </c>
      <c r="E43">
        <v>-246.18</v>
      </c>
      <c r="F43">
        <f t="shared" si="0"/>
        <v>-3859.43</v>
      </c>
      <c r="H43" t="s">
        <v>44</v>
      </c>
      <c r="I43" t="s">
        <v>13</v>
      </c>
      <c r="J43" t="s">
        <v>18</v>
      </c>
    </row>
    <row r="44" spans="1:10">
      <c r="A44" s="2">
        <v>46141.1513888889</v>
      </c>
      <c r="B44" t="s">
        <v>10</v>
      </c>
      <c r="C44" t="s">
        <v>15</v>
      </c>
      <c r="E44">
        <v>-472.73</v>
      </c>
      <c r="F44">
        <f t="shared" si="0"/>
        <v>-4332.16</v>
      </c>
      <c r="H44" t="s">
        <v>49</v>
      </c>
      <c r="I44" t="s">
        <v>13</v>
      </c>
      <c r="J44" t="s">
        <v>16</v>
      </c>
    </row>
    <row r="45" spans="1:10">
      <c r="A45" s="2">
        <v>46141.3798611111</v>
      </c>
      <c r="B45" t="s">
        <v>10</v>
      </c>
      <c r="C45" t="s">
        <v>11</v>
      </c>
      <c r="E45">
        <v>-199</v>
      </c>
      <c r="F45">
        <f t="shared" si="0"/>
        <v>-4531.16</v>
      </c>
      <c r="H45" t="s">
        <v>49</v>
      </c>
      <c r="I45" t="s">
        <v>13</v>
      </c>
      <c r="J45" t="s">
        <v>50</v>
      </c>
    </row>
    <row r="46" spans="1:10">
      <c r="A46" s="2">
        <v>46141.7645833333</v>
      </c>
      <c r="B46" t="s">
        <v>10</v>
      </c>
      <c r="C46" t="s">
        <v>15</v>
      </c>
      <c r="E46">
        <v>-464.94</v>
      </c>
      <c r="F46">
        <f t="shared" si="0"/>
        <v>-4996.1</v>
      </c>
      <c r="H46" t="s">
        <v>49</v>
      </c>
      <c r="I46" t="s">
        <v>13</v>
      </c>
      <c r="J46" t="s">
        <v>51</v>
      </c>
    </row>
    <row r="47" spans="1:10">
      <c r="A47" s="2">
        <v>46142.3861111111</v>
      </c>
      <c r="B47" t="s">
        <v>10</v>
      </c>
      <c r="C47" t="s">
        <v>15</v>
      </c>
      <c r="E47">
        <v>-250</v>
      </c>
      <c r="F47">
        <f t="shared" si="0"/>
        <v>-5246.1</v>
      </c>
      <c r="H47" t="s">
        <v>49</v>
      </c>
      <c r="I47" t="s">
        <v>13</v>
      </c>
      <c r="J47" t="s">
        <v>52</v>
      </c>
    </row>
    <row r="48" spans="1:10">
      <c r="A48" s="2">
        <v>46142.4791666667</v>
      </c>
      <c r="B48" t="s">
        <v>10</v>
      </c>
      <c r="C48" t="s">
        <v>15</v>
      </c>
      <c r="E48">
        <v>-166.98</v>
      </c>
      <c r="F48">
        <f t="shared" si="0"/>
        <v>-5413.08</v>
      </c>
      <c r="H48" t="s">
        <v>49</v>
      </c>
      <c r="I48" t="s">
        <v>13</v>
      </c>
      <c r="J48" t="s">
        <v>16</v>
      </c>
    </row>
    <row r="49" spans="1:10">
      <c r="A49" s="2">
        <v>46142.4847222222</v>
      </c>
      <c r="B49" t="s">
        <v>10</v>
      </c>
      <c r="C49" t="s">
        <v>53</v>
      </c>
      <c r="E49">
        <v>-67</v>
      </c>
      <c r="F49">
        <f t="shared" si="0"/>
        <v>-5480.08</v>
      </c>
      <c r="H49" t="s">
        <v>44</v>
      </c>
      <c r="I49" t="s">
        <v>13</v>
      </c>
      <c r="J49" t="s">
        <v>54</v>
      </c>
    </row>
    <row r="50" spans="1:10">
      <c r="A50" s="2">
        <v>46142.5986111111</v>
      </c>
      <c r="B50" t="s">
        <v>10</v>
      </c>
      <c r="C50" t="s">
        <v>15</v>
      </c>
      <c r="E50">
        <v>-99.99</v>
      </c>
      <c r="F50">
        <f t="shared" si="0"/>
        <v>-5580.07</v>
      </c>
      <c r="H50" t="s">
        <v>49</v>
      </c>
      <c r="I50" t="s">
        <v>13</v>
      </c>
      <c r="J50" t="s">
        <v>16</v>
      </c>
    </row>
    <row r="51" spans="1:10">
      <c r="A51" s="2">
        <v>46143.2208333333</v>
      </c>
      <c r="B51" t="s">
        <v>10</v>
      </c>
      <c r="C51" t="s">
        <v>15</v>
      </c>
      <c r="E51">
        <v>-119.97</v>
      </c>
      <c r="F51">
        <f t="shared" si="0"/>
        <v>-5700.04</v>
      </c>
      <c r="H51" t="s">
        <v>55</v>
      </c>
      <c r="I51" t="s">
        <v>13</v>
      </c>
      <c r="J51" t="s">
        <v>16</v>
      </c>
    </row>
    <row r="52" spans="1:10">
      <c r="A52" s="2">
        <v>46143.2895833333</v>
      </c>
      <c r="B52" t="s">
        <v>10</v>
      </c>
      <c r="C52" t="s">
        <v>56</v>
      </c>
      <c r="E52">
        <v>-134</v>
      </c>
      <c r="F52">
        <f t="shared" si="0"/>
        <v>-5834.04</v>
      </c>
      <c r="H52" t="s">
        <v>57</v>
      </c>
      <c r="I52" t="s">
        <v>13</v>
      </c>
      <c r="J52" t="s">
        <v>54</v>
      </c>
    </row>
    <row r="53" spans="1:10">
      <c r="A53" s="2">
        <v>46143.6597222222</v>
      </c>
      <c r="B53" t="s">
        <v>10</v>
      </c>
      <c r="C53" t="s">
        <v>58</v>
      </c>
      <c r="E53">
        <v>-25</v>
      </c>
      <c r="F53">
        <f t="shared" si="0"/>
        <v>-5859.04</v>
      </c>
      <c r="H53" t="s">
        <v>57</v>
      </c>
      <c r="I53" t="s">
        <v>13</v>
      </c>
      <c r="J53" t="s">
        <v>59</v>
      </c>
    </row>
    <row r="54" spans="1:10">
      <c r="A54" s="2">
        <v>46143.7145833333</v>
      </c>
      <c r="B54" t="s">
        <v>10</v>
      </c>
      <c r="C54" t="s">
        <v>60</v>
      </c>
      <c r="E54">
        <v>-1500</v>
      </c>
      <c r="F54">
        <f t="shared" si="0"/>
        <v>-7359.04</v>
      </c>
      <c r="H54" t="s">
        <v>57</v>
      </c>
      <c r="I54" t="s">
        <v>13</v>
      </c>
      <c r="J54" t="s">
        <v>61</v>
      </c>
    </row>
    <row r="55" spans="1:10">
      <c r="A55" s="2">
        <v>46143.78125</v>
      </c>
      <c r="B55" t="s">
        <v>10</v>
      </c>
      <c r="C55" t="s">
        <v>62</v>
      </c>
      <c r="E55">
        <v>-344.98</v>
      </c>
      <c r="F55">
        <f t="shared" si="0"/>
        <v>-7704.02</v>
      </c>
      <c r="H55" t="s">
        <v>55</v>
      </c>
      <c r="I55" t="s">
        <v>13</v>
      </c>
      <c r="J55" t="s">
        <v>63</v>
      </c>
    </row>
    <row r="56" spans="1:10">
      <c r="A56" s="2">
        <v>46144.2236111111</v>
      </c>
      <c r="B56" t="s">
        <v>10</v>
      </c>
      <c r="C56" t="s">
        <v>15</v>
      </c>
      <c r="E56">
        <v>-119.97</v>
      </c>
      <c r="F56">
        <f t="shared" si="0"/>
        <v>-7823.99</v>
      </c>
      <c r="H56" t="s">
        <v>64</v>
      </c>
      <c r="I56" t="s">
        <v>13</v>
      </c>
      <c r="J56" t="s">
        <v>16</v>
      </c>
    </row>
    <row r="57" spans="1:10">
      <c r="A57" s="2">
        <v>46144.7159722222</v>
      </c>
      <c r="B57" t="s">
        <v>3</v>
      </c>
      <c r="C57" t="s">
        <v>39</v>
      </c>
      <c r="D57">
        <v>2000</v>
      </c>
      <c r="F57">
        <f t="shared" si="0"/>
        <v>-5823.99</v>
      </c>
      <c r="H57" t="s">
        <v>49</v>
      </c>
      <c r="I57" t="s">
        <v>13</v>
      </c>
      <c r="J57" t="s">
        <v>40</v>
      </c>
    </row>
    <row r="58" spans="1:10">
      <c r="A58" s="2">
        <v>46145.6875</v>
      </c>
      <c r="B58" t="s">
        <v>10</v>
      </c>
      <c r="C58" t="s">
        <v>15</v>
      </c>
      <c r="E58">
        <v>-219.98</v>
      </c>
      <c r="F58">
        <f t="shared" si="0"/>
        <v>-6043.97</v>
      </c>
      <c r="H58" t="s">
        <v>65</v>
      </c>
      <c r="I58" t="s">
        <v>13</v>
      </c>
      <c r="J58" t="s">
        <v>16</v>
      </c>
    </row>
    <row r="59" spans="1:10">
      <c r="A59" s="2">
        <v>46146.5041666667</v>
      </c>
      <c r="B59" t="s">
        <v>10</v>
      </c>
      <c r="C59" t="s">
        <v>19</v>
      </c>
      <c r="E59">
        <v>-269</v>
      </c>
      <c r="F59">
        <f t="shared" si="0"/>
        <v>-6312.97</v>
      </c>
      <c r="H59" t="s">
        <v>66</v>
      </c>
      <c r="I59" t="s">
        <v>13</v>
      </c>
      <c r="J59" t="s">
        <v>24</v>
      </c>
    </row>
    <row r="60" spans="1:10">
      <c r="A60" s="2">
        <v>46146.5180555556</v>
      </c>
      <c r="B60" t="s">
        <v>10</v>
      </c>
      <c r="C60" t="s">
        <v>15</v>
      </c>
      <c r="E60">
        <v>-249.97</v>
      </c>
      <c r="F60">
        <f t="shared" si="0"/>
        <v>-6562.94</v>
      </c>
      <c r="H60" t="s">
        <v>66</v>
      </c>
      <c r="I60" t="s">
        <v>13</v>
      </c>
      <c r="J60" t="s">
        <v>16</v>
      </c>
    </row>
    <row r="61" spans="1:10">
      <c r="A61" s="2">
        <v>46146.5194444444</v>
      </c>
      <c r="B61" t="s">
        <v>10</v>
      </c>
      <c r="C61" t="s">
        <v>67</v>
      </c>
      <c r="E61">
        <v>-80</v>
      </c>
      <c r="F61">
        <f t="shared" si="0"/>
        <v>-6642.94</v>
      </c>
      <c r="H61" t="s">
        <v>66</v>
      </c>
      <c r="I61" t="s">
        <v>13</v>
      </c>
      <c r="J61" t="s">
        <v>68</v>
      </c>
    </row>
    <row r="62" spans="1:10">
      <c r="A62" s="2">
        <v>46146.5840277778</v>
      </c>
      <c r="B62" t="s">
        <v>3</v>
      </c>
      <c r="C62" t="s">
        <v>39</v>
      </c>
      <c r="D62">
        <v>5000</v>
      </c>
      <c r="F62">
        <f t="shared" si="0"/>
        <v>-1642.94</v>
      </c>
      <c r="H62" t="s">
        <v>64</v>
      </c>
      <c r="I62" t="s">
        <v>13</v>
      </c>
      <c r="J62" t="s">
        <v>40</v>
      </c>
    </row>
    <row r="63" spans="1:10">
      <c r="A63" s="2">
        <v>46147.1402777778</v>
      </c>
      <c r="B63" t="s">
        <v>10</v>
      </c>
      <c r="C63" t="s">
        <v>15</v>
      </c>
      <c r="E63">
        <v>-54.99</v>
      </c>
      <c r="F63">
        <f t="shared" si="0"/>
        <v>-1697.93</v>
      </c>
      <c r="H63" t="s">
        <v>69</v>
      </c>
      <c r="I63" t="s">
        <v>13</v>
      </c>
      <c r="J63" t="s">
        <v>16</v>
      </c>
    </row>
    <row r="64" spans="1:10">
      <c r="A64" s="2">
        <v>46147.3909722222</v>
      </c>
      <c r="B64" t="s">
        <v>10</v>
      </c>
      <c r="C64" t="s">
        <v>11</v>
      </c>
      <c r="E64">
        <v>-199</v>
      </c>
      <c r="F64">
        <f t="shared" si="0"/>
        <v>-1896.93</v>
      </c>
      <c r="H64" t="s">
        <v>69</v>
      </c>
      <c r="I64" t="s">
        <v>13</v>
      </c>
      <c r="J64" t="s">
        <v>50</v>
      </c>
    </row>
    <row r="65" spans="1:10">
      <c r="A65" s="2">
        <v>46147.5854166667</v>
      </c>
      <c r="B65" t="s">
        <v>10</v>
      </c>
      <c r="C65" t="s">
        <v>15</v>
      </c>
      <c r="E65">
        <v>-3000</v>
      </c>
      <c r="F65">
        <f t="shared" si="0"/>
        <v>-4896.93</v>
      </c>
      <c r="H65" t="s">
        <v>69</v>
      </c>
      <c r="I65" t="s">
        <v>13</v>
      </c>
      <c r="J65" t="s">
        <v>70</v>
      </c>
    </row>
    <row r="66" spans="1:10">
      <c r="A66" s="2">
        <v>46147.6069444444</v>
      </c>
      <c r="B66" t="s">
        <v>10</v>
      </c>
      <c r="C66" t="s">
        <v>15</v>
      </c>
      <c r="E66">
        <v>-99.99</v>
      </c>
      <c r="F66">
        <f t="shared" si="0"/>
        <v>-4996.92</v>
      </c>
      <c r="H66" t="s">
        <v>69</v>
      </c>
      <c r="I66" t="s">
        <v>13</v>
      </c>
      <c r="J66" t="s">
        <v>71</v>
      </c>
    </row>
    <row r="67" spans="1:10">
      <c r="A67" s="2">
        <v>46148.3881944444</v>
      </c>
      <c r="B67" t="s">
        <v>10</v>
      </c>
      <c r="C67" t="s">
        <v>11</v>
      </c>
      <c r="E67">
        <v>-199</v>
      </c>
      <c r="F67">
        <f t="shared" ref="F67:F98" si="1">F66+D67+E67</f>
        <v>-5195.92</v>
      </c>
      <c r="H67" t="s">
        <v>72</v>
      </c>
      <c r="I67" t="s">
        <v>13</v>
      </c>
      <c r="J67" t="s">
        <v>50</v>
      </c>
    </row>
    <row r="68" spans="1:10">
      <c r="A68" s="2">
        <v>46148.48125</v>
      </c>
      <c r="B68" t="s">
        <v>10</v>
      </c>
      <c r="C68" t="s">
        <v>73</v>
      </c>
      <c r="E68">
        <v>-328</v>
      </c>
      <c r="F68">
        <f t="shared" si="1"/>
        <v>-5523.92</v>
      </c>
      <c r="H68" t="s">
        <v>72</v>
      </c>
      <c r="I68" t="s">
        <v>13</v>
      </c>
      <c r="J68" t="s">
        <v>50</v>
      </c>
    </row>
    <row r="69" spans="1:10">
      <c r="A69" s="2">
        <v>46148.5576388889</v>
      </c>
      <c r="B69" t="s">
        <v>10</v>
      </c>
      <c r="C69" t="s">
        <v>17</v>
      </c>
      <c r="E69">
        <v>-51.99</v>
      </c>
      <c r="F69">
        <f t="shared" si="1"/>
        <v>-5575.91</v>
      </c>
      <c r="H69" t="s">
        <v>72</v>
      </c>
      <c r="I69" t="s">
        <v>13</v>
      </c>
      <c r="J69" t="s">
        <v>18</v>
      </c>
    </row>
    <row r="70" spans="1:10">
      <c r="A70" s="2">
        <v>46148.5604166667</v>
      </c>
      <c r="B70" t="s">
        <v>10</v>
      </c>
      <c r="C70" t="s">
        <v>15</v>
      </c>
      <c r="E70">
        <v>-297.5</v>
      </c>
      <c r="F70">
        <f t="shared" si="1"/>
        <v>-5873.41</v>
      </c>
      <c r="H70" t="s">
        <v>72</v>
      </c>
      <c r="I70" t="s">
        <v>13</v>
      </c>
      <c r="J70" t="s">
        <v>74</v>
      </c>
    </row>
    <row r="71" spans="1:10">
      <c r="A71" s="2">
        <v>46149.4902777778</v>
      </c>
      <c r="B71" t="s">
        <v>10</v>
      </c>
      <c r="C71" t="s">
        <v>15</v>
      </c>
      <c r="E71">
        <v>-131.37</v>
      </c>
      <c r="F71">
        <f t="shared" si="1"/>
        <v>-6004.78</v>
      </c>
      <c r="H71" t="s">
        <v>75</v>
      </c>
      <c r="I71" t="s">
        <v>13</v>
      </c>
      <c r="J71" t="s">
        <v>16</v>
      </c>
    </row>
    <row r="72" spans="1:10">
      <c r="A72" s="2">
        <v>46149.6152777778</v>
      </c>
      <c r="B72" t="s">
        <v>76</v>
      </c>
      <c r="C72" t="s">
        <v>77</v>
      </c>
      <c r="F72">
        <f t="shared" si="1"/>
        <v>-6004.78</v>
      </c>
      <c r="H72" t="s">
        <v>69</v>
      </c>
      <c r="I72" t="s">
        <v>13</v>
      </c>
      <c r="J72" t="s">
        <v>78</v>
      </c>
    </row>
    <row r="73" spans="1:10">
      <c r="A73" s="2">
        <v>46149.6756944444</v>
      </c>
      <c r="B73" t="s">
        <v>10</v>
      </c>
      <c r="C73" t="s">
        <v>15</v>
      </c>
      <c r="E73">
        <v>-59.99</v>
      </c>
      <c r="F73">
        <f t="shared" si="1"/>
        <v>-6064.77</v>
      </c>
      <c r="H73" t="s">
        <v>75</v>
      </c>
      <c r="I73" t="s">
        <v>13</v>
      </c>
      <c r="J73" t="s">
        <v>16</v>
      </c>
    </row>
    <row r="74" spans="1:10">
      <c r="A74" s="2">
        <v>46149.6826388889</v>
      </c>
      <c r="B74" t="s">
        <v>10</v>
      </c>
      <c r="C74" t="s">
        <v>36</v>
      </c>
      <c r="E74">
        <v>-238</v>
      </c>
      <c r="F74">
        <f t="shared" si="1"/>
        <v>-6302.77</v>
      </c>
      <c r="H74" t="s">
        <v>75</v>
      </c>
      <c r="I74" t="s">
        <v>13</v>
      </c>
      <c r="J74" t="s">
        <v>38</v>
      </c>
    </row>
    <row r="75" spans="1:10">
      <c r="A75" s="2">
        <v>46149.7451388889</v>
      </c>
      <c r="B75" t="s">
        <v>10</v>
      </c>
      <c r="C75" t="s">
        <v>15</v>
      </c>
      <c r="E75">
        <v>-329.98</v>
      </c>
      <c r="F75">
        <f t="shared" si="1"/>
        <v>-6632.75</v>
      </c>
      <c r="H75" t="s">
        <v>75</v>
      </c>
      <c r="I75" t="s">
        <v>13</v>
      </c>
      <c r="J75" t="s">
        <v>16</v>
      </c>
    </row>
    <row r="76" spans="1:10">
      <c r="A76" s="2">
        <v>46150.3125</v>
      </c>
      <c r="B76" t="s">
        <v>10</v>
      </c>
      <c r="C76" t="s">
        <v>15</v>
      </c>
      <c r="E76">
        <v>-140</v>
      </c>
      <c r="F76">
        <f t="shared" si="1"/>
        <v>-6772.75</v>
      </c>
      <c r="H76" t="s">
        <v>79</v>
      </c>
      <c r="I76" t="s">
        <v>13</v>
      </c>
      <c r="J76" t="s">
        <v>35</v>
      </c>
    </row>
    <row r="77" spans="1:10">
      <c r="A77" s="2">
        <v>46150.48125</v>
      </c>
      <c r="B77" t="s">
        <v>10</v>
      </c>
      <c r="C77" t="s">
        <v>62</v>
      </c>
      <c r="E77">
        <v>-35</v>
      </c>
      <c r="F77">
        <f t="shared" si="1"/>
        <v>-6807.75</v>
      </c>
      <c r="H77" t="s">
        <v>79</v>
      </c>
      <c r="I77" t="s">
        <v>13</v>
      </c>
      <c r="J77" t="s">
        <v>80</v>
      </c>
    </row>
    <row r="78" spans="1:10">
      <c r="A78" s="2">
        <v>46150.6840277778</v>
      </c>
      <c r="B78" t="s">
        <v>3</v>
      </c>
      <c r="C78" t="s">
        <v>81</v>
      </c>
      <c r="D78">
        <v>1200</v>
      </c>
      <c r="F78">
        <f t="shared" si="1"/>
        <v>-5607.75</v>
      </c>
      <c r="H78" t="s">
        <v>72</v>
      </c>
      <c r="I78" t="s">
        <v>13</v>
      </c>
      <c r="J78" t="s">
        <v>82</v>
      </c>
    </row>
    <row r="79" spans="1:10">
      <c r="A79" s="2">
        <v>46150.6958333333</v>
      </c>
      <c r="B79" t="s">
        <v>3</v>
      </c>
      <c r="C79" t="s">
        <v>81</v>
      </c>
      <c r="D79">
        <v>1000</v>
      </c>
      <c r="F79">
        <f t="shared" si="1"/>
        <v>-4607.75</v>
      </c>
      <c r="H79" t="s">
        <v>72</v>
      </c>
      <c r="I79" t="s">
        <v>13</v>
      </c>
      <c r="J79" t="s">
        <v>82</v>
      </c>
    </row>
    <row r="80" spans="1:10">
      <c r="A80" s="2">
        <v>46150.6993055556</v>
      </c>
      <c r="B80" t="s">
        <v>10</v>
      </c>
      <c r="C80" t="s">
        <v>15</v>
      </c>
      <c r="E80">
        <v>-1945.88</v>
      </c>
      <c r="F80">
        <f t="shared" si="1"/>
        <v>-6553.63</v>
      </c>
      <c r="H80" t="s">
        <v>79</v>
      </c>
      <c r="I80" t="s">
        <v>13</v>
      </c>
      <c r="J80" t="s">
        <v>16</v>
      </c>
    </row>
    <row r="81" spans="1:10">
      <c r="A81" s="2">
        <v>46151.2972222222</v>
      </c>
      <c r="B81" t="s">
        <v>10</v>
      </c>
      <c r="C81" t="s">
        <v>83</v>
      </c>
      <c r="E81">
        <v>-68</v>
      </c>
      <c r="F81">
        <f t="shared" si="1"/>
        <v>-6621.63</v>
      </c>
      <c r="H81" t="s">
        <v>84</v>
      </c>
      <c r="I81" t="s">
        <v>13</v>
      </c>
      <c r="J81" t="s">
        <v>85</v>
      </c>
    </row>
    <row r="82" spans="1:10">
      <c r="A82" s="2">
        <v>46151.4270833333</v>
      </c>
      <c r="B82" t="s">
        <v>10</v>
      </c>
      <c r="C82" t="s">
        <v>86</v>
      </c>
      <c r="E82">
        <v>-1000</v>
      </c>
      <c r="F82">
        <f t="shared" si="1"/>
        <v>-7621.63</v>
      </c>
      <c r="H82" t="s">
        <v>75</v>
      </c>
      <c r="I82" t="s">
        <v>13</v>
      </c>
      <c r="J82" t="s">
        <v>87</v>
      </c>
    </row>
    <row r="83" spans="1:10">
      <c r="A83" s="2">
        <v>46151.5458333333</v>
      </c>
      <c r="B83" t="s">
        <v>10</v>
      </c>
      <c r="C83" t="s">
        <v>15</v>
      </c>
      <c r="E83">
        <v>-140</v>
      </c>
      <c r="F83">
        <f t="shared" si="1"/>
        <v>-7761.63</v>
      </c>
      <c r="H83" t="s">
        <v>84</v>
      </c>
      <c r="I83" t="s">
        <v>13</v>
      </c>
      <c r="J83" t="s">
        <v>35</v>
      </c>
    </row>
    <row r="84" spans="1:10">
      <c r="A84" s="2">
        <v>46152.7131944444</v>
      </c>
      <c r="B84" t="s">
        <v>10</v>
      </c>
      <c r="C84" t="s">
        <v>17</v>
      </c>
      <c r="E84">
        <v>-550.1</v>
      </c>
      <c r="F84">
        <f t="shared" si="1"/>
        <v>-8311.73</v>
      </c>
      <c r="H84" t="s">
        <v>88</v>
      </c>
      <c r="I84" t="s">
        <v>13</v>
      </c>
      <c r="J84" t="s">
        <v>18</v>
      </c>
    </row>
    <row r="85" spans="1:10">
      <c r="A85" s="2">
        <v>46152.7138888889</v>
      </c>
      <c r="B85" t="s">
        <v>3</v>
      </c>
      <c r="C85" t="s">
        <v>39</v>
      </c>
      <c r="D85">
        <v>6500</v>
      </c>
      <c r="F85">
        <f t="shared" si="1"/>
        <v>-1811.73</v>
      </c>
      <c r="H85" t="s">
        <v>79</v>
      </c>
      <c r="I85" t="s">
        <v>13</v>
      </c>
      <c r="J85" t="s">
        <v>40</v>
      </c>
    </row>
    <row r="86" spans="1:10">
      <c r="A86" s="2">
        <v>46152.7166666667</v>
      </c>
      <c r="B86" t="s">
        <v>10</v>
      </c>
      <c r="C86" t="s">
        <v>15</v>
      </c>
      <c r="E86">
        <v>-159.98</v>
      </c>
      <c r="F86">
        <f t="shared" si="1"/>
        <v>-1971.71</v>
      </c>
      <c r="H86" t="s">
        <v>88</v>
      </c>
      <c r="I86" t="s">
        <v>13</v>
      </c>
      <c r="J86" t="s">
        <v>89</v>
      </c>
    </row>
    <row r="87" spans="1:10">
      <c r="A87" s="2">
        <v>46153.39375</v>
      </c>
      <c r="B87" t="s">
        <v>10</v>
      </c>
      <c r="C87" t="s">
        <v>62</v>
      </c>
      <c r="E87">
        <v>-170.96</v>
      </c>
      <c r="F87">
        <f t="shared" si="1"/>
        <v>-2142.67</v>
      </c>
      <c r="H87" t="s">
        <v>90</v>
      </c>
      <c r="I87" t="s">
        <v>13</v>
      </c>
      <c r="J87" t="s">
        <v>91</v>
      </c>
    </row>
    <row r="88" spans="1:10">
      <c r="A88" s="2">
        <v>46154.3881944444</v>
      </c>
      <c r="B88" t="s">
        <v>10</v>
      </c>
      <c r="C88" t="s">
        <v>62</v>
      </c>
      <c r="E88">
        <v>-200.97</v>
      </c>
      <c r="F88">
        <f t="shared" si="1"/>
        <v>-2343.64</v>
      </c>
      <c r="H88" t="s">
        <v>92</v>
      </c>
      <c r="I88" t="s">
        <v>13</v>
      </c>
      <c r="J88" t="s">
        <v>91</v>
      </c>
    </row>
    <row r="89" spans="1:10">
      <c r="A89" s="2">
        <v>46154.4770833333</v>
      </c>
      <c r="B89" t="s">
        <v>10</v>
      </c>
      <c r="C89" t="s">
        <v>93</v>
      </c>
      <c r="E89">
        <v>-210</v>
      </c>
      <c r="F89">
        <f t="shared" si="1"/>
        <v>-2553.64</v>
      </c>
      <c r="H89" t="s">
        <v>88</v>
      </c>
      <c r="I89" t="s">
        <v>13</v>
      </c>
      <c r="J89" t="s">
        <v>94</v>
      </c>
    </row>
    <row r="90" spans="1:10">
      <c r="A90" s="2">
        <v>46154.5673611111</v>
      </c>
      <c r="B90" t="s">
        <v>10</v>
      </c>
      <c r="C90" t="s">
        <v>19</v>
      </c>
      <c r="E90">
        <v>-269</v>
      </c>
      <c r="F90">
        <f t="shared" si="1"/>
        <v>-2822.64</v>
      </c>
      <c r="H90" t="s">
        <v>92</v>
      </c>
      <c r="I90" t="s">
        <v>13</v>
      </c>
      <c r="J90" t="s">
        <v>24</v>
      </c>
    </row>
    <row r="91" spans="1:10">
      <c r="A91" s="2">
        <v>46154.7222222222</v>
      </c>
      <c r="B91" t="s">
        <v>10</v>
      </c>
      <c r="C91" t="s">
        <v>15</v>
      </c>
      <c r="E91">
        <v>-159.98</v>
      </c>
      <c r="F91">
        <f t="shared" si="1"/>
        <v>-2982.62</v>
      </c>
      <c r="H91" t="s">
        <v>92</v>
      </c>
      <c r="I91" t="s">
        <v>13</v>
      </c>
      <c r="J91" t="s">
        <v>16</v>
      </c>
    </row>
    <row r="92" spans="1:10">
      <c r="A92" s="2">
        <v>46155.3833333333</v>
      </c>
      <c r="B92" t="s">
        <v>10</v>
      </c>
      <c r="C92" t="s">
        <v>11</v>
      </c>
      <c r="E92">
        <v>-199</v>
      </c>
      <c r="F92">
        <f t="shared" si="1"/>
        <v>-3181.62</v>
      </c>
      <c r="H92" t="s">
        <v>95</v>
      </c>
      <c r="I92" t="s">
        <v>13</v>
      </c>
      <c r="J92" t="s">
        <v>50</v>
      </c>
    </row>
    <row r="93" spans="1:10">
      <c r="A93" s="2">
        <v>46155.4763888889</v>
      </c>
      <c r="B93" t="s">
        <v>10</v>
      </c>
      <c r="C93" t="s">
        <v>17</v>
      </c>
      <c r="E93">
        <v>-169.97</v>
      </c>
      <c r="F93">
        <f t="shared" si="1"/>
        <v>-3351.59</v>
      </c>
      <c r="H93" t="s">
        <v>95</v>
      </c>
      <c r="I93" t="s">
        <v>13</v>
      </c>
      <c r="J93" t="s">
        <v>18</v>
      </c>
    </row>
    <row r="94" spans="1:10">
      <c r="A94" s="2">
        <v>46155.5909722222</v>
      </c>
      <c r="B94" t="s">
        <v>10</v>
      </c>
      <c r="C94" t="s">
        <v>15</v>
      </c>
      <c r="E94">
        <v>-99.99</v>
      </c>
      <c r="F94">
        <f t="shared" si="1"/>
        <v>-3451.58</v>
      </c>
      <c r="H94" t="s">
        <v>95</v>
      </c>
      <c r="I94" t="s">
        <v>13</v>
      </c>
      <c r="J94" t="s">
        <v>16</v>
      </c>
    </row>
    <row r="95" spans="1:10">
      <c r="A95" s="2">
        <v>46156.3916666667</v>
      </c>
      <c r="B95" t="s">
        <v>10</v>
      </c>
      <c r="C95" t="s">
        <v>15</v>
      </c>
      <c r="E95">
        <v>-370</v>
      </c>
      <c r="F95">
        <f t="shared" si="1"/>
        <v>-3821.58</v>
      </c>
      <c r="H95" t="s">
        <v>96</v>
      </c>
      <c r="I95" t="s">
        <v>13</v>
      </c>
      <c r="J95" t="s">
        <v>52</v>
      </c>
    </row>
    <row r="96" spans="1:10">
      <c r="A96" s="2">
        <v>46156.6597222222</v>
      </c>
      <c r="B96" t="s">
        <v>10</v>
      </c>
      <c r="C96" t="s">
        <v>36</v>
      </c>
      <c r="E96">
        <v>-208</v>
      </c>
      <c r="F96">
        <f t="shared" si="1"/>
        <v>-4029.58</v>
      </c>
      <c r="H96" t="s">
        <v>96</v>
      </c>
      <c r="I96" t="s">
        <v>13</v>
      </c>
      <c r="J96" t="s">
        <v>38</v>
      </c>
    </row>
    <row r="97" spans="1:10">
      <c r="A97" s="2">
        <v>46156.6736111111</v>
      </c>
      <c r="B97" t="s">
        <v>10</v>
      </c>
      <c r="C97" t="s">
        <v>15</v>
      </c>
      <c r="E97">
        <v>-230.65</v>
      </c>
      <c r="F97">
        <f t="shared" si="1"/>
        <v>-4260.23</v>
      </c>
      <c r="H97" t="s">
        <v>96</v>
      </c>
      <c r="I97" t="s">
        <v>13</v>
      </c>
      <c r="J97" t="s">
        <v>16</v>
      </c>
    </row>
    <row r="98" spans="1:10">
      <c r="A98" s="2">
        <v>46157.5159722222</v>
      </c>
      <c r="B98" t="s">
        <v>10</v>
      </c>
      <c r="C98" t="s">
        <v>86</v>
      </c>
      <c r="E98">
        <v>-1000</v>
      </c>
      <c r="F98">
        <f t="shared" si="1"/>
        <v>-5260.23</v>
      </c>
      <c r="H98" t="s">
        <v>95</v>
      </c>
      <c r="I98" t="s">
        <v>13</v>
      </c>
      <c r="J98" t="s">
        <v>87</v>
      </c>
    </row>
  </sheetData>
  <conditionalFormatting sqref="G2:G50000">
    <cfRule type="cellIs" dxfId="0" priority="1" operator="notEqual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chere</cp:lastModifiedBy>
  <dcterms:created xsi:type="dcterms:W3CDTF">2026-05-22T04:53:00Z</dcterms:created>
  <dcterms:modified xsi:type="dcterms:W3CDTF">2026-05-22T12:31:54Z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37A07D058C21435C8DBF410AD5C5FD16_12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